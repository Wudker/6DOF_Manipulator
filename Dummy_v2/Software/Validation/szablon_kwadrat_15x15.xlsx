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1"/>
  </bookViews>
  <sheets>
    <sheet name="Kwadrat_15x15" sheetId="1" r:id="rId1"/>
    <sheet name="Kwadrat_40x40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<sst xmlns="http://schemas.openxmlformats.org/spreadsheetml/2006/main" count="36" uniqueCount="18">
  <si>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Nr pomiaru</t>
  </si>
  <si>
    <t>Linia 1 [mm]</t>
  </si>
  <si>
    <t>Linia 2 [mm]</t>
  </si>
  <si>
    <t>Linia 3 [mm]</t>
  </si>
  <si>
    <t>Linia 4 [mm]</t>
  </si>
  <si>
    <t>L_nom [mm]</t>
  </si>
  <si>
    <t>Pomiar 1</t>
  </si>
  <si>
    <t>Pomiar 2</t>
  </si>
  <si>
    <t>Pomiar 3</t>
  </si>
  <si>
    <t>Pomiar 4</t>
  </si>
  <si>
    <t>Średnia L̄ [mm]</t>
  </si>
  <si>
    <t>Błąd średni ē [mm]</t>
  </si>
  <si>
    <t>Błąd średni ē [%]</t>
  </si>
  <si>
    <t>Odchylenie standardowe s [mm]</t>
  </si>
  <si>
    <t>Współczynnik skali k = L̄/L_nom</t>
  </si>
  <si>
    <t>Max |e| [mm]</t>
  </si>
  <si>
    <t>MAE [mm]</t>
  </si>
  <si>
    <t>RMSE [mm]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</si>
</sst>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Fill="1" applyAlignment="1">
      <alignment vertical="center"/>
    </xf>
    <xf numFmtId="0" fontId="0" fillId="0" borderId="0" xfId="0" applyNumberFormat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175" zoomScaleNormal="175" workbookViewId="0">
      <selection activeCell="C9" sqref="C9"/>
    </sheetView>
  </sheetViews>
  <sheetFormatPr defaultColWidth="9" defaultRowHeight="15" outlineLevelCol="7"/>
  <cols>
    <col min="1" max="1" width="32.8571428571429" customWidth="1"/>
    <col min="2" max="5" width="14.7142857142857" customWidth="1"/>
    <col min="7" max="8" width="12.714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>
        <v>15</v>
      </c>
    </row>
    <row r="2" spans="1:5">
      <c r="A2" t="s">
        <v>6</v>
      </c>
      <c r="B2" s="3">
        <v>15.38</v>
      </c>
      <c r="C2" s="3">
        <v>15.8</v>
      </c>
      <c r="D2" s="3">
        <v>15.8</v>
      </c>
      <c r="E2" s="3">
        <v>15.5</v>
      </c>
    </row>
    <row r="3" spans="1:5">
      <c r="A3" t="s">
        <v>7</v>
      </c>
      <c r="B3" s="3">
        <v>15.5</v>
      </c>
      <c r="C3" s="3">
        <v>15.6</v>
      </c>
      <c r="D3" s="3">
        <v>15.5</v>
      </c>
      <c r="E3" s="3">
        <v>16</v>
      </c>
    </row>
    <row r="4" spans="1:5">
      <c r="A4" t="s">
        <v>8</v>
      </c>
      <c r="B4" s="3">
        <v>14.9</v>
      </c>
      <c r="C4" s="3">
        <v>15.75</v>
      </c>
      <c r="D4" s="3">
        <v>15.72</v>
      </c>
      <c r="E4" s="3">
        <v>15.6</v>
      </c>
    </row>
    <row r="5" spans="1:5">
      <c r="A5" t="s">
        <v>9</v>
      </c>
      <c r="B5" s="3">
        <v>15.13</v>
      </c>
      <c r="C5" s="3">
        <v>15.3</v>
      </c>
      <c r="D5" s="3">
        <v>15.2</v>
      </c>
      <c r="E5" s="3">
        <v>15.9</v>
      </c>
    </row>
    <row r="19" spans="2:5">
      <c r="B19" s="4">
        <f>SUM(B2:B5)/4</f>
        <v>15.2275</v>
      </c>
      <c r="C19" s="4">
        <f>SUM(C2:C5)/4</f>
        <v>15.6125</v>
      </c>
      <c r="D19" s="4">
        <f>SUM(D2:D5)/4</f>
        <v>15.555</v>
      </c>
      <c r="E19" s="4">
        <f>SUM(E2:E5)/4</f>
        <v>15.75</v>
      </c>
    </row>
    <row r="20" spans="1:5">
      <c r="A20" s="2" t="s">
        <v>10</v>
      </c>
      <c r="B20">
        <f>IF(COUNT(B2:B17)&gt;0,AVERAGE(B2:B17),"")</f>
        <v>15.2275</v>
      </c>
      <c r="C20">
        <f>IF(COUNT(C2:C17)&gt;0,AVERAGE(C2:C17),"")</f>
        <v>15.6125</v>
      </c>
      <c r="D20">
        <f>IF(COUNT(D2:D17)&gt;0,AVERAGE(D2:D17),"")</f>
        <v>15.555</v>
      </c>
      <c r="E20">
        <f>IF(COUNT(E2:E17)&gt;0,AVERAGE(E2:E17),"")</f>
        <v>15.75</v>
      </c>
    </row>
    <row r="21" spans="1:5">
      <c r="A21" s="2" t="s">
        <v>11</v>
      </c>
      <c r="B21">
        <f>IF(B20&lt;&gt;"",B20-$H$1,"")</f>
        <v>0.227500000000001</v>
      </c>
      <c r="C21">
        <f>IF(C20&lt;&gt;"",C20-$H$1,"")</f>
        <v>0.612500000000001</v>
      </c>
      <c r="D21">
        <f>IF(D20&lt;&gt;"",D20-$H$1,"")</f>
        <v>0.555</v>
      </c>
      <c r="E21">
        <f>IF(E20&lt;&gt;"",E20-$H$1,"")</f>
        <v>0.75</v>
      </c>
    </row>
    <row r="22" spans="1:5">
      <c r="A22" s="2" t="s">
        <v>12</v>
      </c>
      <c r="B22">
        <f>IF(B21&lt;&gt;"",B21/$H$1*100,"")</f>
        <v>1.51666666666667</v>
      </c>
      <c r="C22">
        <f>IF(C21&lt;&gt;"",C21/$H$1*100,"")</f>
        <v>4.08333333333334</v>
      </c>
      <c r="D22">
        <f>IF(D21&lt;&gt;"",D21/$H$1*100,"")</f>
        <v>3.7</v>
      </c>
      <c r="E22">
        <f>IF(E21&lt;&gt;"",E21/$H$1*100,"")</f>
        <v>5</v>
      </c>
    </row>
    <row r="23" spans="1:5">
      <c r="A23" s="2" t="s">
        <v>13</v>
      </c>
      <c r="B23">
        <f>IF(COUNT(B2:B17)&gt;1,_xlfn.STDEV.S(B2:B17),"")</f>
        <v>0.267254560297855</v>
      </c>
      <c r="C23">
        <f>IF(COUNT(C2:C17)&gt;1,_xlfn.STDEV.S(C2:C17),"")</f>
        <v>0.225</v>
      </c>
      <c r="D23">
        <f>IF(COUNT(D2:D17)&gt;1,_xlfn.STDEV.S(D2:D17),"")</f>
        <v>0.268514431641952</v>
      </c>
      <c r="E23">
        <f>IF(COUNT(E2:E17)&gt;1,_xlfn.STDEV.S(E2:E17),"")</f>
        <v>0.238047614284762</v>
      </c>
    </row>
    <row r="24" spans="1:5">
      <c r="A24" s="2" t="s">
        <v>14</v>
      </c>
      <c r="B24">
        <f>IF(AND($H$1&lt;&gt;0,B19&lt;&gt;""),B19/$H$1,"")</f>
        <v>1.01516666666667</v>
      </c>
      <c r="C24">
        <f>IF(AND($H$1&lt;&gt;0,C19&lt;&gt;""),C19/$H$1,"")</f>
        <v>1.04083333333333</v>
      </c>
      <c r="D24">
        <f>IF(AND($H$1&lt;&gt;0,D19&lt;&gt;""),D19/$H$1,"")</f>
        <v>1.037</v>
      </c>
      <c r="E24">
        <f>IF(AND($H$1&lt;&gt;0,E19&lt;&gt;""),E19/$H$1,"")</f>
        <v>1.05</v>
      </c>
    </row>
    <row r="25" spans="1:5">
      <c r="A25" s="2" t="s">
        <v>15</v>
      </c>
      <c r="B25" t="e">
        <f>IF(COUNT(B2:B5)&gt;0,MAX(MAX(B2:B5-$H$1),-MIN(B2:B5-$H$1)),"")</f>
        <v>#VALUE!</v>
      </c>
      <c r="C25" t="e">
        <f>IF(COUNT(C2:C5)&gt;0,MAX(MAX(C2:C5-$H$1),-MIN(C2:C5-$H$1)),"")</f>
        <v>#VALUE!</v>
      </c>
      <c r="D25" t="e">
        <f>IF(COUNT(D2:D5)&gt;0,MAX(MAX(D2:D5-$H$1),-MIN(D2:D5-$H$1)),"")</f>
        <v>#VALUE!</v>
      </c>
      <c r="E25" t="e">
        <f>IF(COUNT(E2:E5)&gt;0,MAX(MAX(E2:E5-$H$1),-MIN(E2:E5-$H$1)),"")</f>
        <v>#VALUE!</v>
      </c>
    </row>
    <row r="26" spans="1:5">
      <c r="A26" s="2" t="s">
        <v>16</v>
      </c>
      <c r="B26">
        <f>IF(COUNT(B2:B17)&gt;0,SUMPRODUCT(ABS(B2:B17-$H$1))/COUNT(B2:B17),"")</f>
        <v>45.2775</v>
      </c>
      <c r="C26">
        <f>IF(COUNT(C2:C17)&gt;0,SUMPRODUCT(ABS(C2:C17-$H$1))/COUNT(C2:C17),"")</f>
        <v>45.6125</v>
      </c>
      <c r="D26">
        <f>IF(COUNT(D2:D17)&gt;0,SUMPRODUCT(ABS(D2:D17-$H$1))/COUNT(D2:D17),"")</f>
        <v>45.555</v>
      </c>
      <c r="E26">
        <f>IF(COUNT(E2:E17)&gt;0,SUMPRODUCT(ABS(E2:E17-$H$1))/COUNT(E2:E17),"")</f>
        <v>45.75</v>
      </c>
    </row>
    <row r="27" spans="1:5">
      <c r="A27" s="2" t="s">
        <v>17</v>
      </c>
      <c r="B27">
        <f>IF(COUNT(B2:B17)&gt;0,SQRT(SUMPRODUCT((B2:B17-$H$1)^2)/COUNT(B2:B17)),"")</f>
        <v>25.9827890150384</v>
      </c>
      <c r="C27">
        <f>IF(COUNT(C2:C17)&gt;0,SQRT(SUMPRODUCT((C2:C17-$H$1)^2)/COUNT(C2:C17)),"")</f>
        <v>25.9887114917227</v>
      </c>
      <c r="D27">
        <f>IF(COUNT(D2:D17)&gt;0,SQRT(SUMPRODUCT((D2:D17-$H$1)^2)/COUNT(D2:D17)),"")</f>
        <v>25.9877297969638</v>
      </c>
      <c r="E27">
        <f>IF(COUNT(E2:E17)&gt;0,SQRT(SUMPRODUCT((E2:E17-$H$1)^2)/COUNT(E2:E17)),"")</f>
        <v>25.9924027361843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175" zoomScaleNormal="175" topLeftCell="A8" workbookViewId="0">
      <selection activeCell="A1" sqref="A1:E27"/>
    </sheetView>
  </sheetViews>
  <sheetFormatPr defaultColWidth="9" defaultRowHeight="15" outlineLevelCol="7"/>
  <cols>
    <col min="1" max="1" width="32.8571428571429" customWidth="1"/>
    <col min="2" max="5" width="14.7142857142857" customWidth="1"/>
    <col min="7" max="8" width="12.714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>
        <v>40</v>
      </c>
    </row>
    <row r="2" spans="1:5">
      <c r="A2" t="s">
        <v>6</v>
      </c>
      <c r="B2" s="3">
        <v>42</v>
      </c>
      <c r="C2" s="3">
        <v>42.1</v>
      </c>
      <c r="D2" s="3">
        <v>41.6</v>
      </c>
      <c r="E2" s="3">
        <v>42.5</v>
      </c>
    </row>
    <row r="3" spans="1:5">
      <c r="A3" t="s">
        <v>7</v>
      </c>
      <c r="B3" s="3">
        <v>42.3</v>
      </c>
      <c r="C3" s="3">
        <v>42.3</v>
      </c>
      <c r="D3" s="3">
        <v>42</v>
      </c>
      <c r="E3" s="3">
        <v>41.6</v>
      </c>
    </row>
    <row r="4" spans="1:5">
      <c r="A4" t="s">
        <v>8</v>
      </c>
      <c r="B4" s="3">
        <v>42.1</v>
      </c>
      <c r="C4" s="3">
        <v>41.9</v>
      </c>
      <c r="D4" s="3">
        <v>41.9</v>
      </c>
      <c r="E4" s="3">
        <v>42</v>
      </c>
    </row>
    <row r="5" spans="1:5">
      <c r="A5" t="s">
        <v>9</v>
      </c>
      <c r="B5" s="3">
        <v>42.1</v>
      </c>
      <c r="C5" s="3">
        <v>42</v>
      </c>
      <c r="D5" s="3">
        <v>41.5</v>
      </c>
      <c r="E5" s="3">
        <v>41</v>
      </c>
    </row>
    <row r="19" spans="2:5">
      <c r="B19" s="4">
        <f>SUM(B2:B5)/4</f>
        <v>42.125</v>
      </c>
      <c r="C19" s="4">
        <f>SUM(C2:C5)/4</f>
        <v>42.075</v>
      </c>
      <c r="D19" s="4">
        <f>SUM(D2:D5)/4</f>
        <v>41.75</v>
      </c>
      <c r="E19" s="4">
        <f>SUM(E2:E5)/4</f>
        <v>41.775</v>
      </c>
    </row>
    <row r="20" spans="1:5">
      <c r="A20" s="2" t="s">
        <v>10</v>
      </c>
      <c r="B20">
        <f>IF(COUNT(B2:B17)&gt;0,AVERAGE(B2:B17),"")</f>
        <v>42.125</v>
      </c>
      <c r="C20">
        <f>IF(COUNT(C2:C17)&gt;0,AVERAGE(C2:C17),"")</f>
        <v>42.075</v>
      </c>
      <c r="D20">
        <f>IF(COUNT(D2:D17)&gt;0,AVERAGE(D2:D17),"")</f>
        <v>41.75</v>
      </c>
      <c r="E20">
        <f>IF(COUNT(E2:E17)&gt;0,AVERAGE(E2:E17),"")</f>
        <v>41.775</v>
      </c>
    </row>
    <row r="21" spans="1:5">
      <c r="A21" s="2" t="s">
        <v>11</v>
      </c>
      <c r="B21">
        <f>IF(B20&lt;&gt;"",B20-$H$1,"")</f>
        <v>2.125</v>
      </c>
      <c r="C21">
        <f>IF(C20&lt;&gt;"",C20-$H$1,"")</f>
        <v>2.075</v>
      </c>
      <c r="D21">
        <f>IF(D20&lt;&gt;"",D20-$H$1,"")</f>
        <v>1.75</v>
      </c>
      <c r="E21">
        <f>IF(E20&lt;&gt;"",E20-$H$1,"")</f>
        <v>1.775</v>
      </c>
    </row>
    <row r="22" spans="1:5">
      <c r="A22" s="2" t="s">
        <v>12</v>
      </c>
      <c r="B22">
        <f>IF(B21&lt;&gt;"",B21/$H$1*100,"")</f>
        <v>5.3125</v>
      </c>
      <c r="C22">
        <f>IF(C21&lt;&gt;"",C21/$H$1*100,"")</f>
        <v>5.18750000000001</v>
      </c>
      <c r="D22">
        <f>IF(D21&lt;&gt;"",D21/$H$1*100,"")</f>
        <v>4.375</v>
      </c>
      <c r="E22">
        <f>IF(E21&lt;&gt;"",E21/$H$1*100,"")</f>
        <v>4.4375</v>
      </c>
    </row>
    <row r="23" spans="1:5">
      <c r="A23" s="2" t="s">
        <v>13</v>
      </c>
      <c r="B23">
        <f>IF(COUNT(B2:B17)&gt;1,_xlfn.STDEV.S(B2:B17),"")</f>
        <v>0.125830573921178</v>
      </c>
      <c r="C23">
        <f>IF(COUNT(C2:C17)&gt;1,_xlfn.STDEV.S(C2:C17),"")</f>
        <v>0.170782512765993</v>
      </c>
      <c r="D23">
        <f>IF(COUNT(D2:D17)&gt;1,_xlfn.STDEV.S(D2:D17),"")</f>
        <v>0.238047614284761</v>
      </c>
      <c r="E23">
        <f>IF(COUNT(E2:E17)&gt;1,_xlfn.STDEV.S(E2:E17),"")</f>
        <v>0.634428877022476</v>
      </c>
    </row>
    <row r="24" spans="1:5">
      <c r="A24" s="2" t="s">
        <v>14</v>
      </c>
      <c r="B24">
        <f>IF(AND($H$1&lt;&gt;0,B19&lt;&gt;""),B19/$H$1,"")</f>
        <v>1.053125</v>
      </c>
      <c r="C24">
        <f>IF(AND($H$1&lt;&gt;0,C19&lt;&gt;""),C19/$H$1,"")</f>
        <v>1.051875</v>
      </c>
      <c r="D24">
        <f>IF(AND($H$1&lt;&gt;0,D19&lt;&gt;""),D19/$H$1,"")</f>
        <v>1.04375</v>
      </c>
      <c r="E24">
        <f>IF(AND($H$1&lt;&gt;0,E19&lt;&gt;""),E19/$H$1,"")</f>
        <v>1.044375</v>
      </c>
    </row>
    <row r="25" spans="1:5">
      <c r="A25" s="2" t="s">
        <v>15</v>
      </c>
      <c r="B25" t="e">
        <f>IF(COUNT(B2:B5)&gt;0,MAX(MAX(B2:B5-$H$1),-MIN(B2:B5-$H$1)),"")</f>
        <v>#VALUE!</v>
      </c>
      <c r="C25" t="e">
        <f>IF(COUNT(C2:C5)&gt;0,MAX(MAX(C2:C5-$H$1),-MIN(C2:C5-$H$1)),"")</f>
        <v>#VALUE!</v>
      </c>
      <c r="D25" t="e">
        <f>IF(COUNT(D2:D5)&gt;0,MAX(MAX(D2:D5-$H$1),-MIN(D2:D5-$H$1)),"")</f>
        <v>#VALUE!</v>
      </c>
      <c r="E25" t="e">
        <f>IF(COUNT(E2:E5)&gt;0,MAX(MAX(E2:E5-$H$1),-MIN(E2:E5-$H$1)),"")</f>
        <v>#VALUE!</v>
      </c>
    </row>
    <row r="26" spans="1:5">
      <c r="A26" s="2" t="s">
        <v>16</v>
      </c>
      <c r="B26">
        <f>IF(COUNT(B2:B17)&gt;0,SUMPRODUCT(ABS(B2:B17-$H$1))/COUNT(B2:B17),"")</f>
        <v>122.125</v>
      </c>
      <c r="C26">
        <f>IF(COUNT(C2:C17)&gt;0,SUMPRODUCT(ABS(C2:C17-$H$1))/COUNT(C2:C17),"")</f>
        <v>122.075</v>
      </c>
      <c r="D26">
        <f>IF(COUNT(D2:D17)&gt;0,SUMPRODUCT(ABS(D2:D17-$H$1))/COUNT(D2:D17),"")</f>
        <v>121.75</v>
      </c>
      <c r="E26">
        <f>IF(COUNT(E2:E17)&gt;0,SUMPRODUCT(ABS(E2:E17-$H$1))/COUNT(E2:E17),"")</f>
        <v>121.775</v>
      </c>
    </row>
    <row r="27" spans="1:5">
      <c r="A27" s="2" t="s">
        <v>17</v>
      </c>
      <c r="B27">
        <f>IF(COUNT(B2:B17)&gt;0,SQRT(SUMPRODUCT((B2:B17-$H$1)^2)/COUNT(B2:B17)),"")</f>
        <v>69.3146990183179</v>
      </c>
      <c r="C27">
        <f>IF(COUNT(C2:C17)&gt;0,SQRT(SUMPRODUCT((C2:C17-$H$1)^2)/COUNT(C2:C17)),"")</f>
        <v>69.3132563078665</v>
      </c>
      <c r="D27">
        <f>IF(COUNT(D2:D17)&gt;0,SQRT(SUMPRODUCT((D2:D17-$H$1)^2)/COUNT(D2:D17)),"")</f>
        <v>69.30443708739</v>
      </c>
      <c r="E27">
        <f>IF(COUNT(E2:E17)&gt;0,SQRT(SUMPRODUCT((E2:E17-$H$1)^2)/COUNT(E2:E17)),"")</f>
        <v>69.3069440965334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Kwadrat_15x15</vt:lpstr>
      <vt:lpstr>Kwadrat_40x40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Błaszczyka stary to alkoholik</cp:lastModifiedBy>
  <dcterms:created xsi:type="dcterms:W3CDTF">2025-11-28T15:03:00Z</dcterms:created>
  <dcterms:modified xsi:type="dcterms:W3CDTF">2025-12-08T19:05:21Z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695842F8C6054A80A331E299C2EB028F_12</vt:lpwstr>
  </property>
  <property fmtid="{D5CDD505-2E9C-101B-9397-08002B2CF9AE}" pid="3" name="KSOProductBuildVer">
    <vt:lpwstr>1045-12.2.0.23155</vt:lpwstr>
  </property>
</Properties>
</file>